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WildB\IST495\Algorithim Data\"/>
    </mc:Choice>
  </mc:AlternateContent>
  <xr:revisionPtr revIDLastSave="0" documentId="13_ncr:1_{2FA8ABA8-514E-4D68-A677-76613476E5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3" i="1"/>
</calcChain>
</file>

<file path=xl/sharedStrings.xml><?xml version="1.0" encoding="utf-8"?>
<sst xmlns="http://schemas.openxmlformats.org/spreadsheetml/2006/main" count="27" uniqueCount="27">
  <si>
    <t>6/01 - 6/15 short interest prediction</t>
  </si>
  <si>
    <t>Ticker</t>
  </si>
  <si>
    <t>GME</t>
  </si>
  <si>
    <t>Avg(RelVol)</t>
  </si>
  <si>
    <t>STKS</t>
  </si>
  <si>
    <t>SLSR</t>
  </si>
  <si>
    <t>AMC</t>
  </si>
  <si>
    <t>Notes</t>
  </si>
  <si>
    <t>Stock dropped over 20% in one day on 6/12</t>
  </si>
  <si>
    <t>GAIN</t>
  </si>
  <si>
    <t>BYSI</t>
  </si>
  <si>
    <t>AAPL</t>
  </si>
  <si>
    <t>IMMP</t>
  </si>
  <si>
    <t>NVDA</t>
  </si>
  <si>
    <t>TSLA</t>
  </si>
  <si>
    <r>
      <t xml:space="preserve">AVG(Perf M) </t>
    </r>
    <r>
      <rPr>
        <sz val="9"/>
        <color theme="1"/>
        <rFont val="Calibri"/>
        <family val="2"/>
        <scheme val="minor"/>
      </rPr>
      <t>on the last day before reporting</t>
    </r>
  </si>
  <si>
    <t>AVG(RSI)</t>
  </si>
  <si>
    <t>Previous Short Interest (Million)</t>
  </si>
  <si>
    <t>New Short Interest (Million)</t>
  </si>
  <si>
    <t>% Change</t>
  </si>
  <si>
    <t>Rel Vol AVG &gt; 1 typically means more positive</t>
  </si>
  <si>
    <t>Stocks that had neg change had positive perf and over 50 RSI</t>
  </si>
  <si>
    <t>All stocks with neg perf had change &gt;= 0</t>
  </si>
  <si>
    <t>Notes for Formulas for change estimates</t>
  </si>
  <si>
    <t>The farther away from 50 RSI the more likely change is to happen</t>
  </si>
  <si>
    <t>Chat GPT formula with R^2 of .64(moderately strong variance prediction)</t>
  </si>
  <si>
    <t>Estimated Change % = 0.20 × (Average Relative Volume) - 0.65 × (1-Month Performance) - 0.0035 × (RSI) + 0.058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</si>
</sst>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%"/>
    <numFmt numFmtId="172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169" fontId="0" fillId="0" borderId="0" xfId="0" applyNumberFormat="1" applyAlignment="1">
      <alignment vertical="center" wrapText="1"/>
    </xf>
    <xf numFmtId="169" fontId="0" fillId="0" borderId="0" xfId="0" applyNumberFormat="1"/>
    <xf numFmtId="172" fontId="0" fillId="0" borderId="0" xfId="0" applyNumberFormat="1" applyAlignment="1">
      <alignment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A24" sqref="A24"/>
    </sheetView>
  </sheetViews>
  <sheetFormatPr defaultRowHeight="14.4" x14ac:dyDescent="0.3"/>
  <cols>
    <col min="1" max="1" width="92.21875" customWidth="1"/>
    <col min="3" max="3" width="10.21875" customWidth="1"/>
    <col min="4" max="4" width="33.5546875" customWidth="1"/>
    <col min="5" max="5" width="10.5546875" bestFit="1" customWidth="1"/>
    <col min="6" max="6" width="27.6640625" customWidth="1"/>
    <col min="7" max="7" width="24.6640625" customWidth="1"/>
  </cols>
  <sheetData>
    <row r="1" spans="1:8" x14ac:dyDescent="0.3">
      <c r="A1" t="s">
        <v>0</v>
      </c>
    </row>
    <row r="2" spans="1:8" x14ac:dyDescent="0.3">
      <c r="A2" t="s">
        <v>7</v>
      </c>
      <c r="B2" t="s">
        <v>1</v>
      </c>
      <c r="C2" t="s">
        <v>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ht="28.8" customHeight="1" x14ac:dyDescent="0.3">
      <c r="A3" t="s">
        <v>8</v>
      </c>
      <c r="B3" s="1" t="s">
        <v>2</v>
      </c>
      <c r="C3" s="1">
        <v>2.1293333333333302</v>
      </c>
      <c r="D3" s="2">
        <v>-0.21813333333333301</v>
      </c>
      <c r="E3" s="4">
        <v>47.691666666666599</v>
      </c>
      <c r="F3" s="1">
        <v>47.49</v>
      </c>
      <c r="G3" s="1">
        <v>79.510000000000005</v>
      </c>
      <c r="H3" s="5">
        <f>(G3-F3)/F3</f>
        <v>0.6742472099389345</v>
      </c>
    </row>
    <row r="4" spans="1:8" x14ac:dyDescent="0.3">
      <c r="B4" s="1" t="s">
        <v>4</v>
      </c>
      <c r="C4" s="1">
        <v>0.55966666666666598</v>
      </c>
      <c r="D4" s="2">
        <v>-0.1817</v>
      </c>
      <c r="E4" s="1">
        <v>50.622</v>
      </c>
      <c r="F4" s="1">
        <v>1.76</v>
      </c>
      <c r="G4" s="1">
        <v>1.76</v>
      </c>
      <c r="H4" s="5">
        <f t="shared" ref="H4:H12" si="0">(G4-F4)/F4</f>
        <v>0</v>
      </c>
    </row>
    <row r="5" spans="1:8" x14ac:dyDescent="0.3">
      <c r="B5" s="1" t="s">
        <v>5</v>
      </c>
      <c r="C5" s="1">
        <v>0.45800000000000002</v>
      </c>
      <c r="D5" s="3">
        <v>0.18386666666666601</v>
      </c>
      <c r="E5" s="1">
        <v>59.741999999999898</v>
      </c>
      <c r="F5" s="1">
        <v>2.5099999999999998</v>
      </c>
      <c r="G5" s="1">
        <v>2.59</v>
      </c>
      <c r="H5" s="5">
        <f t="shared" si="0"/>
        <v>3.1872509960159397E-2</v>
      </c>
    </row>
    <row r="6" spans="1:8" x14ac:dyDescent="0.3">
      <c r="B6" s="1" t="s">
        <v>6</v>
      </c>
      <c r="C6" s="1">
        <v>0.85599999999999998</v>
      </c>
      <c r="D6" s="3">
        <v>0.15570000000000001</v>
      </c>
      <c r="E6" s="1">
        <v>55.441999999999901</v>
      </c>
      <c r="F6" s="1">
        <v>64.209999999999994</v>
      </c>
      <c r="G6" s="1">
        <v>62.65</v>
      </c>
      <c r="H6" s="5">
        <f t="shared" si="0"/>
        <v>-2.4295281108861474E-2</v>
      </c>
    </row>
    <row r="7" spans="1:8" x14ac:dyDescent="0.3">
      <c r="B7" s="1" t="s">
        <v>9</v>
      </c>
      <c r="C7" s="1">
        <v>1.5573333333333299</v>
      </c>
      <c r="D7" s="2">
        <v>2.8566666666666601E-2</v>
      </c>
      <c r="E7" s="4">
        <v>55.424666666666603</v>
      </c>
      <c r="F7">
        <v>3.11</v>
      </c>
      <c r="G7" s="1">
        <v>3.17</v>
      </c>
      <c r="H7" s="5">
        <f t="shared" si="0"/>
        <v>1.9292604501607736E-2</v>
      </c>
    </row>
    <row r="8" spans="1:8" x14ac:dyDescent="0.3">
      <c r="B8" s="1" t="s">
        <v>10</v>
      </c>
      <c r="C8" s="1">
        <v>3.2573333333333299</v>
      </c>
      <c r="D8" s="2">
        <v>0.62376666666666603</v>
      </c>
      <c r="E8" s="4">
        <v>64.746333333333297</v>
      </c>
      <c r="F8" s="1">
        <v>1.84</v>
      </c>
      <c r="G8" s="1">
        <v>1.89</v>
      </c>
      <c r="H8" s="5">
        <f t="shared" si="0"/>
        <v>2.7173913043478163E-2</v>
      </c>
    </row>
    <row r="9" spans="1:8" x14ac:dyDescent="0.3">
      <c r="B9" s="1" t="s">
        <v>11</v>
      </c>
      <c r="C9" s="1">
        <v>0.76500000000000001</v>
      </c>
      <c r="D9" s="2">
        <v>-7.3266666666666605E-2</v>
      </c>
      <c r="E9" s="4">
        <v>46.362333333333297</v>
      </c>
      <c r="F9" s="1">
        <v>94.83</v>
      </c>
      <c r="G9" s="1">
        <v>100.23</v>
      </c>
      <c r="H9" s="5">
        <f t="shared" si="0"/>
        <v>5.6944005061689403E-2</v>
      </c>
    </row>
    <row r="10" spans="1:8" x14ac:dyDescent="0.3">
      <c r="B10" s="1" t="s">
        <v>12</v>
      </c>
      <c r="C10" s="1">
        <v>0.38</v>
      </c>
      <c r="D10" s="2">
        <v>-5.8166666666666603E-2</v>
      </c>
      <c r="E10" s="1">
        <v>47.116999999999997</v>
      </c>
      <c r="F10" s="1">
        <v>4.1399999999999997</v>
      </c>
      <c r="G10" s="1">
        <v>4.1900000000000004</v>
      </c>
      <c r="H10" s="5">
        <f t="shared" si="0"/>
        <v>1.2077294685990511E-2</v>
      </c>
    </row>
    <row r="11" spans="1:8" x14ac:dyDescent="0.3">
      <c r="B11" s="1" t="s">
        <v>13</v>
      </c>
      <c r="C11" s="1">
        <v>0.69233333333333302</v>
      </c>
      <c r="D11" s="3">
        <v>5.08333333333333E-2</v>
      </c>
      <c r="E11" s="4">
        <v>67.050333333333299</v>
      </c>
      <c r="F11" s="1">
        <v>229.34</v>
      </c>
      <c r="G11" s="1">
        <v>206.8</v>
      </c>
      <c r="H11" s="5">
        <f t="shared" si="0"/>
        <v>-9.8282026685270737E-2</v>
      </c>
    </row>
    <row r="12" spans="1:8" x14ac:dyDescent="0.3">
      <c r="B12" s="1" t="s">
        <v>14</v>
      </c>
      <c r="C12" s="1">
        <v>1.1466666666666601</v>
      </c>
      <c r="D12" s="2">
        <v>-6.8833333333333302E-2</v>
      </c>
      <c r="E12" s="1">
        <v>51.033999999999999</v>
      </c>
      <c r="F12" s="1">
        <v>77</v>
      </c>
      <c r="G12" s="1">
        <v>77.099999999999994</v>
      </c>
      <c r="H12" s="5">
        <f t="shared" si="0"/>
        <v>1.298701298701225E-3</v>
      </c>
    </row>
    <row r="16" spans="1:8" x14ac:dyDescent="0.3">
      <c r="A16" t="s">
        <v>23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22</v>
      </c>
    </row>
    <row r="20" spans="1:1" x14ac:dyDescent="0.3">
      <c r="A20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Gray</dc:creator>
  <cp:lastModifiedBy>Gray, William Thomas</cp:lastModifiedBy>
  <dcterms:created xsi:type="dcterms:W3CDTF">2015-06-05T18:17:20Z</dcterms:created>
  <dcterms:modified xsi:type="dcterms:W3CDTF">2025-07-07T03:13:44Z</dcterms:modified>
</cp:coreProperties>
</file>