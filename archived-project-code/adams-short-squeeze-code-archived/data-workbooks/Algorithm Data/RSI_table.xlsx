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B\IST495\"/>
    </mc:Choice>
  </mc:AlternateContent>
  <xr:revisionPtr revIDLastSave="0" documentId="13_ncr:1_{3229FC22-603D-4412-BDCA-CF966EEE48DA}" xr6:coauthVersionLast="47" xr6:coauthVersionMax="47" xr10:uidLastSave="{00000000-0000-0000-0000-000000000000}"/>
  <bookViews>
    <workbookView xWindow="-108" yWindow="-108" windowWidth="23256" windowHeight="12456" xr2:uid="{6AE15B0B-8913-4D0C-BA5F-A8404C17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B22" i="1"/>
  <c r="F22" i="1"/>
  <c r="G22" i="1"/>
  <c r="H22" i="1"/>
  <c r="J22" i="1"/>
  <c r="K22" i="1"/>
</calcChain>
</file>

<file path=xl/sharedStrings.xml><?xml version="1.0" encoding="utf-8"?>
<sst xmlns="http://schemas.openxmlformats.org/spreadsheetml/2006/main" count="16" uniqueCount="15">
  <si>
    <t>GAIN</t>
  </si>
  <si>
    <t>AAPL</t>
  </si>
  <si>
    <t>m =</t>
  </si>
  <si>
    <t>AMC</t>
  </si>
  <si>
    <t>RSI</t>
  </si>
  <si>
    <t>BYSI</t>
  </si>
  <si>
    <t>GME</t>
  </si>
  <si>
    <t>IMMP</t>
  </si>
  <si>
    <t>NVDA</t>
  </si>
  <si>
    <t>SLSR</t>
  </si>
  <si>
    <t>STKS</t>
  </si>
  <si>
    <t>TSLA</t>
  </si>
  <si>
    <t>Change in Intrest</t>
  </si>
  <si>
    <t>No Change</t>
  </si>
  <si>
    <t>Change in Float Short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</si>
</sst>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0" fontId="0" fillId="0" borderId="0" xfId="1" applyNumberFormat="1" applyFont="1"/>
    <xf numFmtId="164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>
                <a:glow rad="228600">
                  <a:schemeClr val="bg1">
                    <a:alpha val="40000"/>
                  </a:schemeClr>
                </a:glow>
              </a:effectLst>
            </c:spPr>
            <c:trendlineType val="linear"/>
            <c:dispRSqr val="0"/>
            <c:dispEq val="1"/>
            <c:trendlineLbl>
              <c:layout>
                <c:manualLayout>
                  <c:x val="-0.10873468941382328"/>
                  <c:y val="-0.37655183727034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68.59</c:v>
                </c:pt>
                <c:pt idx="1">
                  <c:v>70.84</c:v>
                </c:pt>
                <c:pt idx="2">
                  <c:v>71.209999999999994</c:v>
                </c:pt>
                <c:pt idx="3">
                  <c:v>71.319999999999993</c:v>
                </c:pt>
                <c:pt idx="4">
                  <c:v>71.45</c:v>
                </c:pt>
                <c:pt idx="5">
                  <c:v>71.45</c:v>
                </c:pt>
                <c:pt idx="6">
                  <c:v>65.47</c:v>
                </c:pt>
                <c:pt idx="7">
                  <c:v>64.13</c:v>
                </c:pt>
                <c:pt idx="8">
                  <c:v>63.61</c:v>
                </c:pt>
                <c:pt idx="9">
                  <c:v>61.59</c:v>
                </c:pt>
                <c:pt idx="10">
                  <c:v>62.52</c:v>
                </c:pt>
                <c:pt idx="11">
                  <c:v>62.52</c:v>
                </c:pt>
                <c:pt idx="12">
                  <c:v>61.52</c:v>
                </c:pt>
                <c:pt idx="13">
                  <c:v>62.86</c:v>
                </c:pt>
                <c:pt idx="14">
                  <c:v>63.53</c:v>
                </c:pt>
                <c:pt idx="15">
                  <c:v>65.69</c:v>
                </c:pt>
                <c:pt idx="16">
                  <c:v>66.77</c:v>
                </c:pt>
                <c:pt idx="17">
                  <c:v>67.48</c:v>
                </c:pt>
                <c:pt idx="18">
                  <c:v>66.239999999999995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1-4FED-A8C5-9779C64AA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24623"/>
        <c:axId val="784131823"/>
      </c:scatterChart>
      <c:valAx>
        <c:axId val="78412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31823"/>
        <c:crosses val="autoZero"/>
        <c:crossBetween val="midCat"/>
      </c:valAx>
      <c:valAx>
        <c:axId val="7841318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2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AAPL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Sheet1!$C$2:$C$20</c:f>
              <c:numCache>
                <c:formatCode>General</c:formatCode>
                <c:ptCount val="19"/>
                <c:pt idx="0">
                  <c:v>54.79</c:v>
                </c:pt>
                <c:pt idx="1">
                  <c:v>51.41</c:v>
                </c:pt>
                <c:pt idx="2">
                  <c:v>51.99</c:v>
                </c:pt>
                <c:pt idx="3">
                  <c:v>50.97</c:v>
                </c:pt>
                <c:pt idx="4">
                  <c:v>49.86</c:v>
                </c:pt>
                <c:pt idx="5">
                  <c:v>49.86</c:v>
                </c:pt>
                <c:pt idx="6">
                  <c:v>49.43</c:v>
                </c:pt>
                <c:pt idx="7">
                  <c:v>45.79</c:v>
                </c:pt>
                <c:pt idx="8">
                  <c:v>44.94</c:v>
                </c:pt>
                <c:pt idx="9">
                  <c:v>43.66</c:v>
                </c:pt>
                <c:pt idx="10">
                  <c:v>45.03</c:v>
                </c:pt>
                <c:pt idx="11">
                  <c:v>44.22</c:v>
                </c:pt>
                <c:pt idx="12">
                  <c:v>40.020000000000003</c:v>
                </c:pt>
                <c:pt idx="13">
                  <c:v>38.950000000000003</c:v>
                </c:pt>
                <c:pt idx="14">
                  <c:v>38.659999999999997</c:v>
                </c:pt>
                <c:pt idx="15">
                  <c:v>42.46</c:v>
                </c:pt>
                <c:pt idx="16">
                  <c:v>44.57</c:v>
                </c:pt>
                <c:pt idx="17">
                  <c:v>44.73</c:v>
                </c:pt>
                <c:pt idx="18">
                  <c:v>45.93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1E-4079-A7C4-3B658750A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58223"/>
        <c:axId val="784159663"/>
      </c:scatterChart>
      <c:valAx>
        <c:axId val="78415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9663"/>
        <c:crosses val="autoZero"/>
        <c:crossBetween val="midCat"/>
      </c:valAx>
      <c:valAx>
        <c:axId val="7841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Sheet1!$D$2:$D$20</c:f>
              <c:numCache>
                <c:formatCode>General</c:formatCode>
                <c:ptCount val="19"/>
                <c:pt idx="0">
                  <c:v>65.319999999999993</c:v>
                </c:pt>
                <c:pt idx="1">
                  <c:v>58.12</c:v>
                </c:pt>
                <c:pt idx="2">
                  <c:v>60.01</c:v>
                </c:pt>
                <c:pt idx="3">
                  <c:v>62.52</c:v>
                </c:pt>
                <c:pt idx="4">
                  <c:v>66.47</c:v>
                </c:pt>
                <c:pt idx="5">
                  <c:v>66.47</c:v>
                </c:pt>
                <c:pt idx="6">
                  <c:v>65.430000000000007</c:v>
                </c:pt>
                <c:pt idx="7">
                  <c:v>61.74</c:v>
                </c:pt>
                <c:pt idx="8">
                  <c:v>59.01</c:v>
                </c:pt>
                <c:pt idx="9">
                  <c:v>68.150000000000006</c:v>
                </c:pt>
                <c:pt idx="10">
                  <c:v>69.23</c:v>
                </c:pt>
                <c:pt idx="11">
                  <c:v>72.08</c:v>
                </c:pt>
                <c:pt idx="12">
                  <c:v>69.39</c:v>
                </c:pt>
                <c:pt idx="13">
                  <c:v>72.08</c:v>
                </c:pt>
                <c:pt idx="14">
                  <c:v>72.08</c:v>
                </c:pt>
                <c:pt idx="15">
                  <c:v>79.05</c:v>
                </c:pt>
                <c:pt idx="16">
                  <c:v>85.12</c:v>
                </c:pt>
                <c:pt idx="17">
                  <c:v>85.45</c:v>
                </c:pt>
                <c:pt idx="18">
                  <c:v>64.66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5-413B-9581-2DB523EA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46223"/>
        <c:axId val="784146703"/>
      </c:scatterChart>
      <c:valAx>
        <c:axId val="7841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46703"/>
        <c:crosses val="autoZero"/>
        <c:crossBetween val="midCat"/>
      </c:valAx>
      <c:valAx>
        <c:axId val="7841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4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9165354330708661E-2"/>
                  <c:y val="0.15011482939632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Sheet1!$E$2:$E$20</c:f>
              <c:numCache>
                <c:formatCode>General</c:formatCode>
                <c:ptCount val="19"/>
                <c:pt idx="0">
                  <c:v>51.79</c:v>
                </c:pt>
                <c:pt idx="1">
                  <c:v>54.19</c:v>
                </c:pt>
                <c:pt idx="2">
                  <c:v>52.21</c:v>
                </c:pt>
                <c:pt idx="3">
                  <c:v>55.14</c:v>
                </c:pt>
                <c:pt idx="4">
                  <c:v>54.47</c:v>
                </c:pt>
                <c:pt idx="5">
                  <c:v>54.47</c:v>
                </c:pt>
                <c:pt idx="6">
                  <c:v>50.45</c:v>
                </c:pt>
                <c:pt idx="7">
                  <c:v>53.29</c:v>
                </c:pt>
                <c:pt idx="8">
                  <c:v>52.31</c:v>
                </c:pt>
                <c:pt idx="9">
                  <c:v>56.6</c:v>
                </c:pt>
                <c:pt idx="10">
                  <c:v>54.98</c:v>
                </c:pt>
                <c:pt idx="11">
                  <c:v>52.31</c:v>
                </c:pt>
                <c:pt idx="12">
                  <c:v>51.21</c:v>
                </c:pt>
                <c:pt idx="13">
                  <c:v>52.81</c:v>
                </c:pt>
                <c:pt idx="14">
                  <c:v>53.3</c:v>
                </c:pt>
                <c:pt idx="15">
                  <c:v>53.56</c:v>
                </c:pt>
                <c:pt idx="16">
                  <c:v>55.31</c:v>
                </c:pt>
                <c:pt idx="17">
                  <c:v>56.25</c:v>
                </c:pt>
                <c:pt idx="18">
                  <c:v>51.04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B-40ED-8A71-5C8198F2E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49103"/>
        <c:axId val="784164463"/>
      </c:scatterChart>
      <c:valAx>
        <c:axId val="78414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64463"/>
        <c:crosses val="autoZero"/>
        <c:crossBetween val="midCat"/>
      </c:valAx>
      <c:valAx>
        <c:axId val="784164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0542432195975511E-3"/>
                  <c:y val="0.19870589093030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Sheet1!$F$2:$F$20</c:f>
              <c:numCache>
                <c:formatCode>General</c:formatCode>
                <c:ptCount val="19"/>
                <c:pt idx="0">
                  <c:v>60.96</c:v>
                </c:pt>
                <c:pt idx="1">
                  <c:v>56.88</c:v>
                </c:pt>
                <c:pt idx="2">
                  <c:v>56.25</c:v>
                </c:pt>
                <c:pt idx="3">
                  <c:v>59.5</c:v>
                </c:pt>
                <c:pt idx="4">
                  <c:v>59.94</c:v>
                </c:pt>
                <c:pt idx="5">
                  <c:v>59.94</c:v>
                </c:pt>
                <c:pt idx="6">
                  <c:v>62.31</c:v>
                </c:pt>
                <c:pt idx="7">
                  <c:v>58.82</c:v>
                </c:pt>
                <c:pt idx="8">
                  <c:v>56.15</c:v>
                </c:pt>
                <c:pt idx="9">
                  <c:v>66.84</c:v>
                </c:pt>
                <c:pt idx="10">
                  <c:v>64.790000000000006</c:v>
                </c:pt>
                <c:pt idx="11">
                  <c:v>69.02</c:v>
                </c:pt>
                <c:pt idx="12">
                  <c:v>72.540000000000006</c:v>
                </c:pt>
                <c:pt idx="13">
                  <c:v>74.040000000000006</c:v>
                </c:pt>
                <c:pt idx="14">
                  <c:v>75.099999999999994</c:v>
                </c:pt>
                <c:pt idx="15">
                  <c:v>76.56</c:v>
                </c:pt>
                <c:pt idx="16">
                  <c:v>79.86</c:v>
                </c:pt>
                <c:pt idx="17">
                  <c:v>79.12</c:v>
                </c:pt>
                <c:pt idx="18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9-4FC9-84BB-84F449D81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50543"/>
        <c:axId val="784152463"/>
      </c:scatterChart>
      <c:valAx>
        <c:axId val="78415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2463"/>
        <c:crosses val="autoZero"/>
        <c:crossBetween val="midCat"/>
      </c:valAx>
      <c:valAx>
        <c:axId val="78415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0709755030621172E-2"/>
                  <c:y val="0.10483850976961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Sheet1!$G$2:$G$20</c:f>
              <c:numCache>
                <c:formatCode>General</c:formatCode>
                <c:ptCount val="19"/>
                <c:pt idx="0">
                  <c:v>58.69</c:v>
                </c:pt>
                <c:pt idx="1">
                  <c:v>59.66</c:v>
                </c:pt>
                <c:pt idx="2">
                  <c:v>59.02</c:v>
                </c:pt>
                <c:pt idx="3">
                  <c:v>56.61</c:v>
                </c:pt>
                <c:pt idx="4">
                  <c:v>57.55</c:v>
                </c:pt>
                <c:pt idx="5">
                  <c:v>57.55</c:v>
                </c:pt>
                <c:pt idx="6">
                  <c:v>57.01</c:v>
                </c:pt>
                <c:pt idx="7">
                  <c:v>52.38</c:v>
                </c:pt>
                <c:pt idx="8">
                  <c:v>54.17</c:v>
                </c:pt>
                <c:pt idx="9">
                  <c:v>54.58</c:v>
                </c:pt>
                <c:pt idx="10">
                  <c:v>54.98</c:v>
                </c:pt>
                <c:pt idx="11">
                  <c:v>55.38</c:v>
                </c:pt>
                <c:pt idx="12">
                  <c:v>50.73</c:v>
                </c:pt>
                <c:pt idx="13">
                  <c:v>53.35</c:v>
                </c:pt>
                <c:pt idx="14">
                  <c:v>53.84</c:v>
                </c:pt>
                <c:pt idx="15">
                  <c:v>54.74</c:v>
                </c:pt>
                <c:pt idx="16">
                  <c:v>55.82</c:v>
                </c:pt>
                <c:pt idx="17">
                  <c:v>56.03</c:v>
                </c:pt>
                <c:pt idx="18">
                  <c:v>54.41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67-492C-9A0A-E5D4C106E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57743"/>
        <c:axId val="784165423"/>
      </c:scatterChart>
      <c:valAx>
        <c:axId val="78415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65423"/>
        <c:crosses val="autoZero"/>
        <c:crossBetween val="midCat"/>
      </c:valAx>
      <c:valAx>
        <c:axId val="784165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3764216972878391E-3"/>
                  <c:y val="0.15126312335958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Sheet1!$H$2:$H$20</c:f>
              <c:numCache>
                <c:formatCode>General</c:formatCode>
                <c:ptCount val="19"/>
                <c:pt idx="0">
                  <c:v>72.92</c:v>
                </c:pt>
                <c:pt idx="1">
                  <c:v>72.930000000000007</c:v>
                </c:pt>
                <c:pt idx="2">
                  <c:v>73.040000000000006</c:v>
                </c:pt>
                <c:pt idx="3">
                  <c:v>70.63</c:v>
                </c:pt>
                <c:pt idx="4">
                  <c:v>70.7</c:v>
                </c:pt>
                <c:pt idx="5">
                  <c:v>70.7</c:v>
                </c:pt>
                <c:pt idx="6">
                  <c:v>72.38</c:v>
                </c:pt>
                <c:pt idx="7">
                  <c:v>68.58</c:v>
                </c:pt>
                <c:pt idx="8">
                  <c:v>65.790000000000006</c:v>
                </c:pt>
                <c:pt idx="9">
                  <c:v>66.87</c:v>
                </c:pt>
                <c:pt idx="10">
                  <c:v>67.34</c:v>
                </c:pt>
                <c:pt idx="11">
                  <c:v>66.78</c:v>
                </c:pt>
                <c:pt idx="12">
                  <c:v>63.08</c:v>
                </c:pt>
                <c:pt idx="13">
                  <c:v>65.14</c:v>
                </c:pt>
                <c:pt idx="14">
                  <c:v>63.8</c:v>
                </c:pt>
                <c:pt idx="15">
                  <c:v>67.209999999999994</c:v>
                </c:pt>
                <c:pt idx="16">
                  <c:v>67.849999999999994</c:v>
                </c:pt>
                <c:pt idx="17">
                  <c:v>68.010000000000005</c:v>
                </c:pt>
                <c:pt idx="18">
                  <c:v>68.33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5-4C1B-9181-DECFCE420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50543"/>
        <c:axId val="784167343"/>
      </c:scatterChart>
      <c:valAx>
        <c:axId val="78415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67343"/>
        <c:crosses val="autoZero"/>
        <c:crossBetween val="midCat"/>
      </c:valAx>
      <c:valAx>
        <c:axId val="784167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SLSR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5165354330708661E-2"/>
                  <c:y val="0.16011154855643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Sheet1!$I$2:$I$20</c:f>
              <c:numCache>
                <c:formatCode>General</c:formatCode>
                <c:ptCount val="19"/>
                <c:pt idx="0">
                  <c:v>46.55</c:v>
                </c:pt>
                <c:pt idx="1">
                  <c:v>45</c:v>
                </c:pt>
                <c:pt idx="2">
                  <c:v>47.21</c:v>
                </c:pt>
                <c:pt idx="3">
                  <c:v>47.56</c:v>
                </c:pt>
                <c:pt idx="4">
                  <c:v>50.82</c:v>
                </c:pt>
                <c:pt idx="5">
                  <c:v>50.82</c:v>
                </c:pt>
                <c:pt idx="6">
                  <c:v>56.11</c:v>
                </c:pt>
                <c:pt idx="7">
                  <c:v>56.37</c:v>
                </c:pt>
                <c:pt idx="8">
                  <c:v>59.72</c:v>
                </c:pt>
                <c:pt idx="9">
                  <c:v>59.37</c:v>
                </c:pt>
                <c:pt idx="10">
                  <c:v>60.42</c:v>
                </c:pt>
                <c:pt idx="11">
                  <c:v>55.16</c:v>
                </c:pt>
                <c:pt idx="12">
                  <c:v>57.76</c:v>
                </c:pt>
                <c:pt idx="13">
                  <c:v>62.44</c:v>
                </c:pt>
                <c:pt idx="14">
                  <c:v>63.34</c:v>
                </c:pt>
                <c:pt idx="15">
                  <c:v>56.87</c:v>
                </c:pt>
                <c:pt idx="16">
                  <c:v>58.92</c:v>
                </c:pt>
                <c:pt idx="17">
                  <c:v>59.41</c:v>
                </c:pt>
                <c:pt idx="18">
                  <c:v>57.54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1-4537-88ED-EE04E381B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85103"/>
        <c:axId val="784183663"/>
      </c:scatterChart>
      <c:valAx>
        <c:axId val="78418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83663"/>
        <c:crosses val="autoZero"/>
        <c:crossBetween val="midCat"/>
      </c:valAx>
      <c:valAx>
        <c:axId val="7841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8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124671916010502E-3"/>
                  <c:y val="5.26829979585885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Sheet1!$J$2:$J$20</c:f>
              <c:numCache>
                <c:formatCode>General</c:formatCode>
                <c:ptCount val="19"/>
                <c:pt idx="0">
                  <c:v>68.95</c:v>
                </c:pt>
                <c:pt idx="1">
                  <c:v>67.510000000000005</c:v>
                </c:pt>
                <c:pt idx="2">
                  <c:v>69.52</c:v>
                </c:pt>
                <c:pt idx="3">
                  <c:v>52.67</c:v>
                </c:pt>
                <c:pt idx="4">
                  <c:v>52.08</c:v>
                </c:pt>
                <c:pt idx="5">
                  <c:v>52.08</c:v>
                </c:pt>
                <c:pt idx="6">
                  <c:v>51.05</c:v>
                </c:pt>
                <c:pt idx="7">
                  <c:v>50.25</c:v>
                </c:pt>
                <c:pt idx="8">
                  <c:v>51.77</c:v>
                </c:pt>
                <c:pt idx="9">
                  <c:v>51.8</c:v>
                </c:pt>
                <c:pt idx="10">
                  <c:v>54.08</c:v>
                </c:pt>
                <c:pt idx="11">
                  <c:v>52.08</c:v>
                </c:pt>
                <c:pt idx="12">
                  <c:v>52.19</c:v>
                </c:pt>
                <c:pt idx="13">
                  <c:v>54.19</c:v>
                </c:pt>
                <c:pt idx="14">
                  <c:v>54.19</c:v>
                </c:pt>
                <c:pt idx="15">
                  <c:v>55.87</c:v>
                </c:pt>
                <c:pt idx="16">
                  <c:v>57.99</c:v>
                </c:pt>
                <c:pt idx="17">
                  <c:v>55.67</c:v>
                </c:pt>
                <c:pt idx="18">
                  <c:v>51.11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B-4410-867A-ED8B694D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71343"/>
        <c:axId val="784064143"/>
      </c:scatterChart>
      <c:valAx>
        <c:axId val="78407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64143"/>
        <c:crosses val="autoZero"/>
        <c:crossBetween val="midCat"/>
      </c:valAx>
      <c:valAx>
        <c:axId val="7840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7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764216972878388E-3"/>
                  <c:y val="0.154712379702537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Sheet1!$K$2:$K$20</c:f>
              <c:numCache>
                <c:formatCode>General</c:formatCode>
                <c:ptCount val="19"/>
                <c:pt idx="0">
                  <c:v>71.83</c:v>
                </c:pt>
                <c:pt idx="1">
                  <c:v>66.900000000000006</c:v>
                </c:pt>
                <c:pt idx="2">
                  <c:v>67.73</c:v>
                </c:pt>
                <c:pt idx="3">
                  <c:v>69.599999999999994</c:v>
                </c:pt>
                <c:pt idx="4">
                  <c:v>68.16</c:v>
                </c:pt>
                <c:pt idx="5">
                  <c:v>68.16</c:v>
                </c:pt>
                <c:pt idx="6">
                  <c:v>68.209999999999994</c:v>
                </c:pt>
                <c:pt idx="7">
                  <c:v>65.2</c:v>
                </c:pt>
                <c:pt idx="8">
                  <c:v>63.34</c:v>
                </c:pt>
                <c:pt idx="9">
                  <c:v>65.45</c:v>
                </c:pt>
                <c:pt idx="10">
                  <c:v>66.27</c:v>
                </c:pt>
                <c:pt idx="11">
                  <c:v>65.19</c:v>
                </c:pt>
                <c:pt idx="12">
                  <c:v>63.23</c:v>
                </c:pt>
                <c:pt idx="13">
                  <c:v>65.16</c:v>
                </c:pt>
                <c:pt idx="14">
                  <c:v>64.27</c:v>
                </c:pt>
                <c:pt idx="15">
                  <c:v>68.510000000000005</c:v>
                </c:pt>
                <c:pt idx="16">
                  <c:v>69.5</c:v>
                </c:pt>
                <c:pt idx="17">
                  <c:v>70.510000000000005</c:v>
                </c:pt>
                <c:pt idx="18">
                  <c:v>70.459999999999994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1-4748-ABCB-5657122F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158223"/>
        <c:axId val="784155343"/>
      </c:scatterChart>
      <c:valAx>
        <c:axId val="78415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5343"/>
        <c:crosses val="autoZero"/>
        <c:crossBetween val="midCat"/>
      </c:valAx>
      <c:valAx>
        <c:axId val="784155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5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57150</xdr:rowOff>
    </xdr:from>
    <xdr:to>
      <xdr:col>7</xdr:col>
      <xdr:colOff>304800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FC3C9-B3E8-C5F4-48EC-A3761AE7A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41910</xdr:rowOff>
    </xdr:from>
    <xdr:to>
      <xdr:col>7</xdr:col>
      <xdr:colOff>304800</xdr:colOff>
      <xdr:row>53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38033-D4B0-D0E5-4615-3959A49C3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312420</xdr:colOff>
      <xdr:row>23</xdr:row>
      <xdr:rowOff>57150</xdr:rowOff>
    </xdr:from>
    <xdr:to>
      <xdr:col>15</xdr:col>
      <xdr:colOff>7620</xdr:colOff>
      <xdr:row>38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242FF4-49B8-1D52-873A-6D9575980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38</xdr:row>
      <xdr:rowOff>34290</xdr:rowOff>
    </xdr:from>
    <xdr:to>
      <xdr:col>15</xdr:col>
      <xdr:colOff>0</xdr:colOff>
      <xdr:row>53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73FD5D-3B6A-1479-5C09-6E1AE9E8A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7620</xdr:colOff>
      <xdr:row>23</xdr:row>
      <xdr:rowOff>64770</xdr:rowOff>
    </xdr:from>
    <xdr:to>
      <xdr:col>22</xdr:col>
      <xdr:colOff>312420</xdr:colOff>
      <xdr:row>38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DB9F83-CDF3-C8BA-3091-E40A1FFBD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601980</xdr:colOff>
      <xdr:row>38</xdr:row>
      <xdr:rowOff>34290</xdr:rowOff>
    </xdr:from>
    <xdr:to>
      <xdr:col>22</xdr:col>
      <xdr:colOff>297180</xdr:colOff>
      <xdr:row>53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2DA9FE-A8FC-2602-13E3-CC6B0A22C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350520</xdr:colOff>
      <xdr:row>53</xdr:row>
      <xdr:rowOff>19050</xdr:rowOff>
    </xdr:from>
    <xdr:to>
      <xdr:col>15</xdr:col>
      <xdr:colOff>45720</xdr:colOff>
      <xdr:row>68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DCA185-3E60-00D3-B230-E36C494A0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53</xdr:row>
      <xdr:rowOff>41910</xdr:rowOff>
    </xdr:from>
    <xdr:to>
      <xdr:col>7</xdr:col>
      <xdr:colOff>304800</xdr:colOff>
      <xdr:row>68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200774-5A54-E249-26C7-464041E20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38100</xdr:colOff>
      <xdr:row>52</xdr:row>
      <xdr:rowOff>163830</xdr:rowOff>
    </xdr:from>
    <xdr:to>
      <xdr:col>22</xdr:col>
      <xdr:colOff>342900</xdr:colOff>
      <xdr:row>67</xdr:row>
      <xdr:rowOff>163830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042A4B-B858-59CA-5CB3-9F5F496BF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20217</xdr:colOff>
      <xdr:row>8</xdr:row>
      <xdr:rowOff>55906</xdr:rowOff>
    </xdr:from>
    <xdr:to>
      <xdr:col>22</xdr:col>
      <xdr:colOff>321906</xdr:colOff>
      <xdr:row>23</xdr:row>
      <xdr:rowOff>55906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AE5C85-2B0A-C9A3-A632-4F037A714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9541-6DAA-4768-8ED2-37EC1686AC87}">
  <dimension ref="A1:K23"/>
  <sheetViews>
    <sheetView tabSelected="1" zoomScale="95" workbookViewId="0">
      <selection activeCell="AB22" sqref="AB22"/>
    </sheetView>
  </sheetViews>
  <sheetFormatPr defaultRowHeight="14.4" x14ac:dyDescent="0.3"/>
  <cols>
    <col min="1" max="1" width="20.6640625" customWidth="1"/>
    <col min="5" max="5" width="8.109375" customWidth="1"/>
    <col min="9" max="9" width="9.6640625" customWidth="1"/>
  </cols>
  <sheetData>
    <row r="1" spans="1:11" x14ac:dyDescent="0.3">
      <c r="A1" t="s">
        <v>4</v>
      </c>
      <c r="B1" t="s">
        <v>0</v>
      </c>
      <c r="C1" t="s">
        <v>1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1</v>
      </c>
      <c r="B2" s="1">
        <v>68.59</v>
      </c>
      <c r="C2" s="1">
        <v>54.79</v>
      </c>
      <c r="D2" s="1">
        <v>65.319999999999993</v>
      </c>
      <c r="E2" s="1">
        <v>51.79</v>
      </c>
      <c r="F2" s="1">
        <v>60.96</v>
      </c>
      <c r="G2" s="1">
        <v>58.69</v>
      </c>
      <c r="H2" s="1">
        <v>72.92</v>
      </c>
      <c r="I2" s="1">
        <v>46.55</v>
      </c>
      <c r="J2" s="1">
        <v>68.95</v>
      </c>
      <c r="K2" s="1">
        <v>71.83</v>
      </c>
    </row>
    <row r="3" spans="1:11" x14ac:dyDescent="0.3">
      <c r="A3" s="1">
        <v>2</v>
      </c>
      <c r="B3" s="1">
        <v>70.84</v>
      </c>
      <c r="C3" s="1">
        <v>51.41</v>
      </c>
      <c r="D3" s="1">
        <v>58.12</v>
      </c>
      <c r="E3" s="1">
        <v>54.19</v>
      </c>
      <c r="F3" s="1">
        <v>56.88</v>
      </c>
      <c r="G3" s="1">
        <v>59.66</v>
      </c>
      <c r="H3" s="1">
        <v>72.930000000000007</v>
      </c>
      <c r="I3" s="1">
        <v>45</v>
      </c>
      <c r="J3" s="1">
        <v>67.510000000000005</v>
      </c>
      <c r="K3" s="1">
        <v>66.900000000000006</v>
      </c>
    </row>
    <row r="4" spans="1:11" x14ac:dyDescent="0.3">
      <c r="A4" s="1">
        <v>3</v>
      </c>
      <c r="B4" s="1">
        <v>71.209999999999994</v>
      </c>
      <c r="C4" s="1">
        <v>51.99</v>
      </c>
      <c r="D4" s="1">
        <v>60.01</v>
      </c>
      <c r="E4" s="1">
        <v>52.21</v>
      </c>
      <c r="F4" s="1">
        <v>56.25</v>
      </c>
      <c r="G4" s="1">
        <v>59.02</v>
      </c>
      <c r="H4" s="1">
        <v>73.040000000000006</v>
      </c>
      <c r="I4" s="1">
        <v>47.21</v>
      </c>
      <c r="J4" s="1">
        <v>69.52</v>
      </c>
      <c r="K4" s="1">
        <v>67.73</v>
      </c>
    </row>
    <row r="5" spans="1:11" x14ac:dyDescent="0.3">
      <c r="A5" s="1">
        <v>4</v>
      </c>
      <c r="B5" s="1">
        <v>71.319999999999993</v>
      </c>
      <c r="C5" s="1">
        <v>50.97</v>
      </c>
      <c r="D5" s="1">
        <v>62.52</v>
      </c>
      <c r="E5" s="1">
        <v>55.14</v>
      </c>
      <c r="F5" s="1">
        <v>59.5</v>
      </c>
      <c r="G5" s="1">
        <v>56.61</v>
      </c>
      <c r="H5" s="1">
        <v>70.63</v>
      </c>
      <c r="I5" s="1">
        <v>47.56</v>
      </c>
      <c r="J5" s="1">
        <v>52.67</v>
      </c>
      <c r="K5" s="1">
        <v>69.599999999999994</v>
      </c>
    </row>
    <row r="6" spans="1:11" x14ac:dyDescent="0.3">
      <c r="A6" s="1">
        <v>5</v>
      </c>
      <c r="B6" s="1">
        <v>71.45</v>
      </c>
      <c r="C6" s="1">
        <v>49.86</v>
      </c>
      <c r="D6" s="1">
        <v>66.47</v>
      </c>
      <c r="E6" s="1">
        <v>54.47</v>
      </c>
      <c r="F6" s="1">
        <v>59.94</v>
      </c>
      <c r="G6" s="1">
        <v>57.55</v>
      </c>
      <c r="H6" s="1">
        <v>70.7</v>
      </c>
      <c r="I6" s="1">
        <v>50.82</v>
      </c>
      <c r="J6" s="1">
        <v>52.08</v>
      </c>
      <c r="K6" s="1">
        <v>68.16</v>
      </c>
    </row>
    <row r="7" spans="1:11" x14ac:dyDescent="0.3">
      <c r="A7" s="1">
        <v>6</v>
      </c>
      <c r="B7" s="1">
        <v>71.45</v>
      </c>
      <c r="C7" s="1">
        <v>49.86</v>
      </c>
      <c r="D7" s="1">
        <v>66.47</v>
      </c>
      <c r="E7" s="1">
        <v>54.47</v>
      </c>
      <c r="F7" s="1">
        <v>59.94</v>
      </c>
      <c r="G7" s="1">
        <v>57.55</v>
      </c>
      <c r="H7" s="1">
        <v>70.7</v>
      </c>
      <c r="I7" s="1">
        <v>50.82</v>
      </c>
      <c r="J7" s="1">
        <v>52.08</v>
      </c>
      <c r="K7" s="1">
        <v>68.16</v>
      </c>
    </row>
    <row r="8" spans="1:11" x14ac:dyDescent="0.3">
      <c r="A8" s="1">
        <v>7</v>
      </c>
      <c r="B8" s="1">
        <v>65.47</v>
      </c>
      <c r="C8" s="1">
        <v>49.43</v>
      </c>
      <c r="D8" s="1">
        <v>65.430000000000007</v>
      </c>
      <c r="E8" s="1">
        <v>50.45</v>
      </c>
      <c r="F8" s="1">
        <v>62.31</v>
      </c>
      <c r="G8" s="1">
        <v>57.01</v>
      </c>
      <c r="H8" s="1">
        <v>72.38</v>
      </c>
      <c r="I8" s="1">
        <v>56.11</v>
      </c>
      <c r="J8" s="1">
        <v>51.05</v>
      </c>
      <c r="K8" s="1">
        <v>68.209999999999994</v>
      </c>
    </row>
    <row r="9" spans="1:11" x14ac:dyDescent="0.3">
      <c r="A9" s="1">
        <v>8</v>
      </c>
      <c r="B9" s="1">
        <v>64.13</v>
      </c>
      <c r="C9" s="1">
        <v>45.79</v>
      </c>
      <c r="D9" s="1">
        <v>61.74</v>
      </c>
      <c r="E9" s="1">
        <v>53.29</v>
      </c>
      <c r="F9" s="1">
        <v>58.82</v>
      </c>
      <c r="G9" s="1">
        <v>52.38</v>
      </c>
      <c r="H9" s="1">
        <v>68.58</v>
      </c>
      <c r="I9" s="1">
        <v>56.37</v>
      </c>
      <c r="J9" s="1">
        <v>50.25</v>
      </c>
      <c r="K9" s="1">
        <v>65.2</v>
      </c>
    </row>
    <row r="10" spans="1:11" x14ac:dyDescent="0.3">
      <c r="A10" s="1">
        <v>9</v>
      </c>
      <c r="B10" s="1">
        <v>63.61</v>
      </c>
      <c r="C10" s="1">
        <v>44.94</v>
      </c>
      <c r="D10" s="1">
        <v>59.01</v>
      </c>
      <c r="E10" s="1">
        <v>52.31</v>
      </c>
      <c r="F10" s="1">
        <v>56.15</v>
      </c>
      <c r="G10" s="1">
        <v>54.17</v>
      </c>
      <c r="H10" s="1">
        <v>65.790000000000006</v>
      </c>
      <c r="I10" s="1">
        <v>59.72</v>
      </c>
      <c r="J10" s="1">
        <v>51.77</v>
      </c>
      <c r="K10" s="1">
        <v>63.34</v>
      </c>
    </row>
    <row r="11" spans="1:11" x14ac:dyDescent="0.3">
      <c r="A11" s="1">
        <v>10</v>
      </c>
      <c r="B11" s="1">
        <v>61.59</v>
      </c>
      <c r="C11" s="1">
        <v>43.66</v>
      </c>
      <c r="D11" s="1">
        <v>68.150000000000006</v>
      </c>
      <c r="E11" s="1">
        <v>56.6</v>
      </c>
      <c r="F11" s="1">
        <v>66.84</v>
      </c>
      <c r="G11" s="1">
        <v>54.58</v>
      </c>
      <c r="H11" s="1">
        <v>66.87</v>
      </c>
      <c r="I11" s="1">
        <v>59.37</v>
      </c>
      <c r="J11" s="1">
        <v>51.8</v>
      </c>
      <c r="K11" s="1">
        <v>65.45</v>
      </c>
    </row>
    <row r="12" spans="1:11" x14ac:dyDescent="0.3">
      <c r="A12" s="1">
        <v>11</v>
      </c>
      <c r="B12" s="1">
        <v>62.52</v>
      </c>
      <c r="C12" s="1">
        <v>45.03</v>
      </c>
      <c r="D12" s="1">
        <v>69.23</v>
      </c>
      <c r="E12" s="1">
        <v>54.98</v>
      </c>
      <c r="F12" s="1">
        <v>64.790000000000006</v>
      </c>
      <c r="G12" s="1">
        <v>54.98</v>
      </c>
      <c r="H12" s="1">
        <v>67.34</v>
      </c>
      <c r="I12" s="1">
        <v>60.42</v>
      </c>
      <c r="J12" s="1">
        <v>54.08</v>
      </c>
      <c r="K12" s="1">
        <v>66.27</v>
      </c>
    </row>
    <row r="13" spans="1:11" x14ac:dyDescent="0.3">
      <c r="A13" s="1">
        <v>12</v>
      </c>
      <c r="B13" s="1">
        <v>62.52</v>
      </c>
      <c r="C13" s="1">
        <v>44.22</v>
      </c>
      <c r="D13" s="1">
        <v>72.08</v>
      </c>
      <c r="E13" s="1">
        <v>52.31</v>
      </c>
      <c r="F13" s="1">
        <v>69.02</v>
      </c>
      <c r="G13" s="1">
        <v>55.38</v>
      </c>
      <c r="H13" s="1">
        <v>66.78</v>
      </c>
      <c r="I13" s="1">
        <v>55.16</v>
      </c>
      <c r="J13" s="1">
        <v>52.08</v>
      </c>
      <c r="K13" s="1">
        <v>65.19</v>
      </c>
    </row>
    <row r="14" spans="1:11" x14ac:dyDescent="0.3">
      <c r="A14" s="1">
        <v>13</v>
      </c>
      <c r="B14" s="1">
        <v>61.52</v>
      </c>
      <c r="C14" s="1">
        <v>40.020000000000003</v>
      </c>
      <c r="D14" s="1">
        <v>69.39</v>
      </c>
      <c r="E14" s="1">
        <v>51.21</v>
      </c>
      <c r="F14" s="1">
        <v>72.540000000000006</v>
      </c>
      <c r="G14" s="1">
        <v>50.73</v>
      </c>
      <c r="H14" s="1">
        <v>63.08</v>
      </c>
      <c r="I14" s="1">
        <v>57.76</v>
      </c>
      <c r="J14" s="1">
        <v>52.19</v>
      </c>
      <c r="K14" s="1">
        <v>63.23</v>
      </c>
    </row>
    <row r="15" spans="1:11" x14ac:dyDescent="0.3">
      <c r="A15" s="1">
        <v>14</v>
      </c>
      <c r="B15" s="1">
        <v>62.86</v>
      </c>
      <c r="C15" s="1">
        <v>38.950000000000003</v>
      </c>
      <c r="D15" s="1">
        <v>72.08</v>
      </c>
      <c r="E15" s="1">
        <v>52.81</v>
      </c>
      <c r="F15" s="1">
        <v>74.040000000000006</v>
      </c>
      <c r="G15" s="1">
        <v>53.35</v>
      </c>
      <c r="H15" s="1">
        <v>65.14</v>
      </c>
      <c r="I15" s="1">
        <v>62.44</v>
      </c>
      <c r="J15" s="1">
        <v>54.19</v>
      </c>
      <c r="K15" s="1">
        <v>65.16</v>
      </c>
    </row>
    <row r="16" spans="1:11" x14ac:dyDescent="0.3">
      <c r="A16" s="1">
        <v>15</v>
      </c>
      <c r="B16" s="1">
        <v>63.53</v>
      </c>
      <c r="C16" s="1">
        <v>38.659999999999997</v>
      </c>
      <c r="D16" s="1">
        <v>72.08</v>
      </c>
      <c r="E16" s="1">
        <v>53.3</v>
      </c>
      <c r="F16" s="1">
        <v>75.099999999999994</v>
      </c>
      <c r="G16" s="1">
        <v>53.84</v>
      </c>
      <c r="H16" s="1">
        <v>63.8</v>
      </c>
      <c r="I16" s="1">
        <v>63.34</v>
      </c>
      <c r="J16" s="1">
        <v>54.19</v>
      </c>
      <c r="K16" s="1">
        <v>64.27</v>
      </c>
    </row>
    <row r="17" spans="1:11" x14ac:dyDescent="0.3">
      <c r="A17" s="1">
        <v>16</v>
      </c>
      <c r="B17" s="1">
        <v>65.69</v>
      </c>
      <c r="C17" s="1">
        <v>42.46</v>
      </c>
      <c r="D17" s="1">
        <v>79.05</v>
      </c>
      <c r="E17" s="1">
        <v>53.56</v>
      </c>
      <c r="F17" s="1">
        <v>76.56</v>
      </c>
      <c r="G17" s="1">
        <v>54.74</v>
      </c>
      <c r="H17" s="1">
        <v>67.209999999999994</v>
      </c>
      <c r="I17" s="1">
        <v>56.87</v>
      </c>
      <c r="J17" s="1">
        <v>55.87</v>
      </c>
      <c r="K17" s="1">
        <v>68.510000000000005</v>
      </c>
    </row>
    <row r="18" spans="1:11" x14ac:dyDescent="0.3">
      <c r="A18" s="1">
        <v>17</v>
      </c>
      <c r="B18" s="1">
        <v>66.77</v>
      </c>
      <c r="C18" s="1">
        <v>44.57</v>
      </c>
      <c r="D18" s="1">
        <v>85.12</v>
      </c>
      <c r="E18" s="1">
        <v>55.31</v>
      </c>
      <c r="F18" s="1">
        <v>79.86</v>
      </c>
      <c r="G18" s="1">
        <v>55.82</v>
      </c>
      <c r="H18" s="1">
        <v>67.849999999999994</v>
      </c>
      <c r="I18" s="1">
        <v>58.92</v>
      </c>
      <c r="J18" s="1">
        <v>57.99</v>
      </c>
      <c r="K18" s="1">
        <v>69.5</v>
      </c>
    </row>
    <row r="19" spans="1:11" x14ac:dyDescent="0.3">
      <c r="A19" s="1">
        <v>18</v>
      </c>
      <c r="B19" s="1">
        <v>67.48</v>
      </c>
      <c r="C19" s="1">
        <v>44.73</v>
      </c>
      <c r="D19" s="1">
        <v>85.45</v>
      </c>
      <c r="E19" s="1">
        <v>56.25</v>
      </c>
      <c r="F19" s="1">
        <v>79.12</v>
      </c>
      <c r="G19" s="1">
        <v>56.03</v>
      </c>
      <c r="H19" s="1">
        <v>68.010000000000005</v>
      </c>
      <c r="I19" s="1">
        <v>59.41</v>
      </c>
      <c r="J19" s="1">
        <v>55.67</v>
      </c>
      <c r="K19" s="1">
        <v>70.510000000000005</v>
      </c>
    </row>
    <row r="20" spans="1:11" x14ac:dyDescent="0.3">
      <c r="A20" s="1">
        <v>19</v>
      </c>
      <c r="B20" s="1">
        <v>66.239999999999995</v>
      </c>
      <c r="C20" s="1">
        <v>45.93</v>
      </c>
      <c r="D20" s="1">
        <v>64.66</v>
      </c>
      <c r="E20" s="1">
        <v>51.04</v>
      </c>
      <c r="F20" s="1">
        <v>59.6</v>
      </c>
      <c r="G20" s="1">
        <v>54.41</v>
      </c>
      <c r="H20" s="1">
        <v>68.33</v>
      </c>
      <c r="I20" s="1">
        <v>57.54</v>
      </c>
      <c r="J20" s="1">
        <v>51.11</v>
      </c>
      <c r="K20" s="1">
        <v>70.459999999999994</v>
      </c>
    </row>
    <row r="21" spans="1:11" x14ac:dyDescent="0.3">
      <c r="A21" t="s">
        <v>2</v>
      </c>
      <c r="B21" s="1">
        <v>-0.35599999999999998</v>
      </c>
      <c r="C21" s="1">
        <v>-0.64400000000000002</v>
      </c>
      <c r="D21" s="1">
        <v>1.0189999999999999</v>
      </c>
      <c r="E21" s="1">
        <v>2.1999999999999999E-2</v>
      </c>
      <c r="F21" s="1">
        <v>1.097</v>
      </c>
      <c r="G21" s="1">
        <v>-0.26100000000000001</v>
      </c>
      <c r="H21" s="1">
        <v>-0.39300000000000002</v>
      </c>
      <c r="I21" s="1">
        <v>0.81499999999999995</v>
      </c>
      <c r="J21" s="1">
        <v>-0.50600000000000001</v>
      </c>
      <c r="K21" s="1">
        <v>-3.6999999999999998E-2</v>
      </c>
    </row>
    <row r="22" spans="1:11" x14ac:dyDescent="0.3">
      <c r="A22" t="s">
        <v>12</v>
      </c>
      <c r="B22" s="2">
        <f>(3.09-3.04)/3.04</f>
        <v>1.6447368421052572E-2</v>
      </c>
      <c r="C22" s="2">
        <f>(105.17-108.6)/108.6</f>
        <v>-3.1583793738489803E-2</v>
      </c>
      <c r="D22" s="2">
        <f>(64.23-62.49)/62.49</f>
        <v>2.7844455112818082E-2</v>
      </c>
      <c r="E22" s="3">
        <f>(1840668-1837737)/1837737</f>
        <v>1.594896331738437E-3</v>
      </c>
      <c r="F22" s="2">
        <f>(49.52-48.71)/48.71</f>
        <v>1.6629028946828214E-2</v>
      </c>
      <c r="G22" s="2">
        <f>(4.1-4.06)/4.06</f>
        <v>9.8522167487684834E-3</v>
      </c>
      <c r="H22" s="2">
        <f>(243.99-249.77)/249.77</f>
        <v>-2.3141289986787848E-2</v>
      </c>
      <c r="I22" t="s">
        <v>13</v>
      </c>
      <c r="J22" s="2">
        <f>(1.74-1.79)/1.79</f>
        <v>-2.7932960893854771E-2</v>
      </c>
      <c r="K22" s="2">
        <f>((85.02-81.32)/81.32)</f>
        <v>4.5499262174126948E-2</v>
      </c>
    </row>
    <row r="23" spans="1:11" x14ac:dyDescent="0.3">
      <c r="A23" t="s">
        <v>14</v>
      </c>
      <c r="B23" s="4">
        <v>1.4E-3</v>
      </c>
      <c r="C23" s="4">
        <v>-2.9999999999999997E-4</v>
      </c>
      <c r="D23" s="4">
        <v>4.0000000000000001E-3</v>
      </c>
      <c r="E23" s="4">
        <v>1E-4</v>
      </c>
      <c r="F23" s="4">
        <v>2E-3</v>
      </c>
      <c r="G23" s="4">
        <v>2.9999999999999997E-4</v>
      </c>
      <c r="H23" s="4">
        <v>-2.9999999999999997E-4</v>
      </c>
      <c r="I23" t="s">
        <v>13</v>
      </c>
      <c r="J23" s="4">
        <v>-1.9E-3</v>
      </c>
      <c r="K23" s="4">
        <v>1.2999999999999999E-3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William Thomas</dc:creator>
  <cp:lastModifiedBy>Gray, William Thomas</cp:lastModifiedBy>
  <dcterms:created xsi:type="dcterms:W3CDTF">2025-05-28T17:55:06Z</dcterms:created>
  <dcterms:modified xsi:type="dcterms:W3CDTF">2025-06-02T04:00:57Z</dcterms:modified>
</cp:coreProperties>
</file>